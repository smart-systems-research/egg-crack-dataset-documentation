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filterPrivacy="1"/>
  <xr:revisionPtr revIDLastSave="0" documentId="13_ncr:1_{80CC5162-6B7B-4241-A320-68B270C9D937}" xr6:coauthVersionLast="47" xr6:coauthVersionMax="47" xr10:uidLastSave="{00000000-0000-0000-0000-000000000000}"/>
  <bookViews>
    <workbookView xWindow="23040" yWindow="3090" windowWidth="24540" windowHeight="15285" xr2:uid="{00000000-000D-0000-FFFF-FFFF00000000}"/>
  </bookViews>
  <sheets>
    <sheet name="Dataset 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K11" i="1"/>
  <c r="G11" i="1" l="1"/>
  <c r="F11" i="1"/>
  <c r="E11" i="1"/>
</calcChain>
</file>

<file path=xl/sharedStrings.xml><?xml version="1.0" encoding="utf-8"?>
<sst xmlns="http://schemas.openxmlformats.org/spreadsheetml/2006/main" count="108" uniqueCount="74">
  <si>
    <t>Image Range</t>
  </si>
  <si>
    <t>Dataset Name</t>
  </si>
  <si>
    <t>Owner</t>
  </si>
  <si>
    <t>Original Source Type</t>
  </si>
  <si>
    <t>Images Used</t>
  </si>
  <si>
    <t>Cracked Used</t>
  </si>
  <si>
    <t>Non-cracked Used</t>
  </si>
  <si>
    <t>Re-annotated?</t>
  </si>
  <si>
    <t>Source URL</t>
  </si>
  <si>
    <t>1–70</t>
  </si>
  <si>
    <t>Egg Crack Detection Computer Vision Model</t>
  </si>
  <si>
    <t>innodata</t>
  </si>
  <si>
    <t>Roboflow public dataset</t>
  </si>
  <si>
    <t>Yes</t>
  </si>
  <si>
    <t>https://universe.roboflow.com/innodata/egg-crack-detection-ajv0f</t>
  </si>
  <si>
    <t>71–715</t>
  </si>
  <si>
    <t>Train egg Computer Vision Dataset</t>
  </si>
  <si>
    <t>egg classification</t>
  </si>
  <si>
    <t>https://universe.roboflow.com/egg-classification-kgyv8/train-egg</t>
  </si>
  <si>
    <t>716–815</t>
  </si>
  <si>
    <t>Egg crack detect Computer Vision Dataset</t>
  </si>
  <si>
    <t>Thanapat Sirikham</t>
  </si>
  <si>
    <t>https://universe.roboflow.com/thanapat-sirikham/egg-crack-detect</t>
  </si>
  <si>
    <t>816–915</t>
  </si>
  <si>
    <t>Egg Image Dataset</t>
  </si>
  <si>
    <t>Abdullah Khan Kakar</t>
  </si>
  <si>
    <t>Kaggle public dataset</t>
  </si>
  <si>
    <t>916–970</t>
  </si>
  <si>
    <t>Egg Dataset Computer Vision Model</t>
  </si>
  <si>
    <t>GoSeeri</t>
  </si>
  <si>
    <t>https://universe.roboflow.com/goseeri-dataset/egg-dataset-npkgq</t>
  </si>
  <si>
    <t>971–1050</t>
  </si>
  <si>
    <t>Crack Segmentation Dataset</t>
  </si>
  <si>
    <t>Lakshay Middha</t>
  </si>
  <si>
    <t>https://www.kaggle.com/datasets/lakshaymiddha/crack-segmentation-dataset</t>
  </si>
  <si>
    <t>1051–1100</t>
  </si>
  <si>
    <t>EGG QUALITY DETECTION Computer Vision Model</t>
  </si>
  <si>
    <t>Sortir Telur</t>
  </si>
  <si>
    <t>https://universe.roboflow.com/sortir-telur-hnabp/egg-quality-detection-zfqdk</t>
  </si>
  <si>
    <t>1101–1140</t>
  </si>
  <si>
    <t>eggs Computer Vision Dataset</t>
  </si>
  <si>
    <t>Sowmiya Radhakrishnan</t>
  </si>
  <si>
    <t>https://universe.roboflow.com/sowmiya-radhakrishnan/eggs-zsgey</t>
  </si>
  <si>
    <t>1141–1400</t>
  </si>
  <si>
    <t>Eggs Computer Vision Dataset</t>
  </si>
  <si>
    <t>nadie-nadie</t>
  </si>
  <si>
    <t>https://universe.roboflow.com/nadie-nadie/eggs-ot1ea</t>
  </si>
  <si>
    <t>TOTAL</t>
  </si>
  <si>
    <t>Original Task</t>
  </si>
  <si>
    <t>Egg classification</t>
  </si>
  <si>
    <t>Egg crack detection</t>
  </si>
  <si>
    <t>White &amp; Brown</t>
  </si>
  <si>
    <t>Brown</t>
  </si>
  <si>
    <t>Egg condition detection</t>
  </si>
  <si>
    <t>Damaged egg detection</t>
  </si>
  <si>
    <t>White</t>
  </si>
  <si>
    <t>Egg Colour</t>
  </si>
  <si>
    <t>N/A</t>
  </si>
  <si>
    <t>Crack segmentation</t>
  </si>
  <si>
    <t>Egg object detection</t>
  </si>
  <si>
    <t>Unused images</t>
  </si>
  <si>
    <t>License</t>
  </si>
  <si>
    <t>CC BY 4.0</t>
  </si>
  <si>
    <t>CC0 1.0 Universal</t>
  </si>
  <si>
    <t>Used only for experimental model development; original images not redistributed</t>
  </si>
  <si>
    <t>Unknown</t>
  </si>
  <si>
    <t>Reuse Status</t>
  </si>
  <si>
    <t>Allowed</t>
  </si>
  <si>
    <t>Used for Training/ Validation</t>
  </si>
  <si>
    <t>Used for Testing</t>
  </si>
  <si>
    <t>Egg detection</t>
  </si>
  <si>
    <t>Classification</t>
  </si>
  <si>
    <t>Access Date</t>
  </si>
  <si>
    <t>https://www.kaggle.com/datasets/abdullahkhanuet22/eggs-images-classification-damaged-or-not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</si>
</sst>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u/>
      <sz val="11"/>
      <color theme="10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wrapText="1"/>
    </xf>
    <xf numFmtId="0" fontId="3" fillId="0" borderId="0" xfId="1" applyNumberFormat="1" applyFill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0" fillId="0" borderId="2" xfId="0" applyBorder="1" applyAlignment="1">
      <alignment horizontal="center" wrapText="1"/>
    </xf>
    <xf numFmtId="0" fontId="4" fillId="0" borderId="2" xfId="1" applyNumberFormat="1" applyFont="1" applyFill="1" applyBorder="1" applyAlignment="1">
      <alignment wrapText="1"/>
    </xf>
    <xf numFmtId="17" fontId="0" fillId="0" borderId="0" xfId="0" applyNumberFormat="1"/>
    <xf numFmtId="0" fontId="0" fillId="0" borderId="2" xfId="0" applyNumberFormat="1" applyBorder="1" applyAlignment="1">
      <alignment wrapText="1"/>
    </xf>
    <xf numFmtId="0" fontId="2" fillId="3" borderId="2" xfId="0" applyNumberFormat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setSourcesTable" displayName="DatasetSourcesTable" ref="A1:Q11" totalsRowShown="0">
  <tableColumns count="17">
    <tableColumn id="1" xr3:uid="{00000000-0010-0000-0000-000001000000}" name="Image Range"/>
    <tableColumn id="2" xr3:uid="{00000000-0010-0000-0000-000002000000}" name="Dataset Name"/>
    <tableColumn id="3" xr3:uid="{00000000-0010-0000-0000-000003000000}" name="Owner"/>
    <tableColumn id="4" xr3:uid="{00000000-0010-0000-0000-000004000000}" name="Original Source Type"/>
    <tableColumn id="6" xr3:uid="{00000000-0010-0000-0000-000006000000}" name="Images Used"/>
    <tableColumn id="7" xr3:uid="{00000000-0010-0000-0000-000007000000}" name="Cracked Used"/>
    <tableColumn id="8" xr3:uid="{00000000-0010-0000-0000-000008000000}" name="Non-cracked Used"/>
    <tableColumn id="12" xr3:uid="{00000000-0010-0000-0000-00000C000000}" name="Egg Colour" dataDxfId="6"/>
    <tableColumn id="5" xr3:uid="{00000000-0010-0000-0000-000005000000}" name="Original Task" dataDxfId="5"/>
    <tableColumn id="9" xr3:uid="{00000000-0010-0000-0000-000009000000}" name="Re-annotated?"/>
    <tableColumn id="17" xr3:uid="{00000000-0010-0000-0000-000011000000}" name="Used for Training/ Validation" dataDxfId="4"/>
    <tableColumn id="11" xr3:uid="{00000000-0010-0000-0000-00000B000000}" name="Used for Testing" dataDxfId="1"/>
    <tableColumn id="13" xr3:uid="{00000000-0010-0000-0000-00000D000000}" name="Unused images" dataDxfId="0"/>
    <tableColumn id="10" xr3:uid="{00000000-0010-0000-0000-00000A000000}" name="Source URL"/>
    <tableColumn id="14" xr3:uid="{00000000-0010-0000-0000-00000E000000}" name="License" dataDxfId="3"/>
    <tableColumn id="16" xr3:uid="{00000000-0010-0000-0000-000010000000}" name="Reuse Status" dataDxfId="2" dataCellStyle="Hyperlink"/>
    <tableColumn id="15" xr3:uid="{00000000-0010-0000-0000-00000F000000}" name="Access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niverse.roboflow.com/sowmiya-radhakrishnan/eggs-zsgey" TargetMode="External"/><Relationship Id="rId3" Type="http://schemas.openxmlformats.org/officeDocument/2006/relationships/hyperlink" Target="https://universe.roboflow.com/thanapat-sirikham/egg-crack-detect" TargetMode="External"/><Relationship Id="rId7" Type="http://schemas.openxmlformats.org/officeDocument/2006/relationships/hyperlink" Target="https://universe.roboflow.com/sortir-telur-hnabp/egg-quality-detection-zfqdk" TargetMode="External"/><Relationship Id="rId2" Type="http://schemas.openxmlformats.org/officeDocument/2006/relationships/hyperlink" Target="https://universe.roboflow.com/egg-classification-kgyv8/train-egg" TargetMode="External"/><Relationship Id="rId1" Type="http://schemas.openxmlformats.org/officeDocument/2006/relationships/hyperlink" Target="https://universe.roboflow.com/innodata/egg-crack-detection-ajv0f" TargetMode="External"/><Relationship Id="rId6" Type="http://schemas.openxmlformats.org/officeDocument/2006/relationships/hyperlink" Target="https://www.kaggle.com/datasets/lakshaymiddha/crack-segmentation-dataset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universe.roboflow.com/goseeri-dataset/egg-dataset-npkgq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kaggle.com/datasets/abdullahkhanuet22/eggs-images-classification-damaged-or-not" TargetMode="External"/><Relationship Id="rId9" Type="http://schemas.openxmlformats.org/officeDocument/2006/relationships/hyperlink" Target="https://universe.roboflow.com/nadie-nadie/eggs-ot1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topLeftCell="E1" workbookViewId="0">
      <selection activeCell="L11" sqref="L11"/>
    </sheetView>
  </sheetViews>
  <sheetFormatPr defaultRowHeight="15" x14ac:dyDescent="0.25"/>
  <cols>
    <col min="1" max="1" width="12" customWidth="1"/>
    <col min="2" max="2" width="33.25" bestFit="1" customWidth="1"/>
    <col min="3" max="3" width="21.5" bestFit="1" customWidth="1"/>
    <col min="4" max="4" width="20.5" bestFit="1" customWidth="1"/>
    <col min="5" max="5" width="12.25" bestFit="1" customWidth="1"/>
    <col min="6" max="6" width="8.25" bestFit="1" customWidth="1"/>
    <col min="7" max="7" width="12.125" bestFit="1" customWidth="1"/>
    <col min="8" max="8" width="12.125" customWidth="1"/>
    <col min="9" max="9" width="14.375" bestFit="1" customWidth="1"/>
    <col min="10" max="10" width="14.125" bestFit="1" customWidth="1"/>
    <col min="11" max="11" width="9.5" bestFit="1" customWidth="1"/>
    <col min="12" max="12" width="8.5" bestFit="1" customWidth="1"/>
    <col min="13" max="13" width="7.75" bestFit="1" customWidth="1"/>
    <col min="14" max="14" width="50" customWidth="1"/>
    <col min="15" max="15" width="9.5" customWidth="1"/>
    <col min="16" max="16" width="38.875" customWidth="1"/>
    <col min="17" max="17" width="12.25" bestFit="1" customWidth="1"/>
  </cols>
  <sheetData>
    <row r="1" spans="1:1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56</v>
      </c>
      <c r="I1" s="5" t="s">
        <v>48</v>
      </c>
      <c r="J1" s="1" t="s">
        <v>7</v>
      </c>
      <c r="K1" s="5" t="s">
        <v>68</v>
      </c>
      <c r="L1" s="5" t="s">
        <v>69</v>
      </c>
      <c r="M1" s="5" t="s">
        <v>60</v>
      </c>
      <c r="N1" s="1" t="s">
        <v>8</v>
      </c>
      <c r="O1" s="5" t="s">
        <v>61</v>
      </c>
      <c r="P1" s="5" t="s">
        <v>66</v>
      </c>
      <c r="Q1" t="s">
        <v>72</v>
      </c>
    </row>
    <row r="2" spans="1:17" ht="30" x14ac:dyDescent="0.25">
      <c r="A2" s="2" t="s">
        <v>9</v>
      </c>
      <c r="B2" s="2" t="s">
        <v>10</v>
      </c>
      <c r="C2" s="2" t="s">
        <v>11</v>
      </c>
      <c r="D2" s="2" t="s">
        <v>12</v>
      </c>
      <c r="E2" s="2">
        <v>70</v>
      </c>
      <c r="F2" s="2">
        <v>70</v>
      </c>
      <c r="G2" s="2">
        <v>0</v>
      </c>
      <c r="H2" s="6" t="s">
        <v>51</v>
      </c>
      <c r="I2" s="6" t="s">
        <v>50</v>
      </c>
      <c r="J2" s="2" t="s">
        <v>13</v>
      </c>
      <c r="K2" s="6">
        <v>50</v>
      </c>
      <c r="L2" s="6">
        <v>20</v>
      </c>
      <c r="M2" s="11">
        <v>7</v>
      </c>
      <c r="N2" s="4" t="s">
        <v>14</v>
      </c>
      <c r="O2" s="8" t="s">
        <v>62</v>
      </c>
      <c r="P2" s="9" t="s">
        <v>67</v>
      </c>
      <c r="Q2" s="10">
        <v>45658</v>
      </c>
    </row>
    <row r="3" spans="1:17" ht="30" x14ac:dyDescent="0.25">
      <c r="A3" s="2" t="s">
        <v>15</v>
      </c>
      <c r="B3" s="2" t="s">
        <v>16</v>
      </c>
      <c r="C3" s="2" t="s">
        <v>17</v>
      </c>
      <c r="D3" s="2" t="s">
        <v>12</v>
      </c>
      <c r="E3" s="2">
        <v>645</v>
      </c>
      <c r="F3" s="2">
        <v>485</v>
      </c>
      <c r="G3" s="2">
        <v>160</v>
      </c>
      <c r="H3" s="6" t="s">
        <v>51</v>
      </c>
      <c r="I3" s="6" t="s">
        <v>49</v>
      </c>
      <c r="J3" s="2" t="s">
        <v>13</v>
      </c>
      <c r="K3" s="6">
        <v>580</v>
      </c>
      <c r="L3" s="6">
        <v>65</v>
      </c>
      <c r="M3" s="11">
        <v>3836</v>
      </c>
      <c r="N3" s="4" t="s">
        <v>18</v>
      </c>
      <c r="O3" s="8" t="s">
        <v>62</v>
      </c>
      <c r="P3" s="9" t="s">
        <v>67</v>
      </c>
      <c r="Q3" s="10">
        <v>45658</v>
      </c>
    </row>
    <row r="4" spans="1:17" ht="30" x14ac:dyDescent="0.25">
      <c r="A4" s="2" t="s">
        <v>19</v>
      </c>
      <c r="B4" s="2" t="s">
        <v>20</v>
      </c>
      <c r="C4" s="2" t="s">
        <v>21</v>
      </c>
      <c r="D4" s="2" t="s">
        <v>12</v>
      </c>
      <c r="E4" s="2">
        <v>100</v>
      </c>
      <c r="F4" s="2">
        <v>0</v>
      </c>
      <c r="G4" s="2">
        <v>100</v>
      </c>
      <c r="H4" s="6" t="s">
        <v>52</v>
      </c>
      <c r="I4" s="6" t="s">
        <v>53</v>
      </c>
      <c r="J4" s="2" t="s">
        <v>13</v>
      </c>
      <c r="K4" s="6">
        <v>80</v>
      </c>
      <c r="L4" s="6">
        <v>20</v>
      </c>
      <c r="M4" s="11">
        <v>41</v>
      </c>
      <c r="N4" s="4" t="s">
        <v>22</v>
      </c>
      <c r="O4" s="8" t="s">
        <v>62</v>
      </c>
      <c r="P4" s="9" t="s">
        <v>67</v>
      </c>
      <c r="Q4" s="10">
        <v>45658</v>
      </c>
    </row>
    <row r="5" spans="1:17" ht="30" x14ac:dyDescent="0.25">
      <c r="A5" s="2" t="s">
        <v>23</v>
      </c>
      <c r="B5" s="2" t="s">
        <v>24</v>
      </c>
      <c r="C5" s="2" t="s">
        <v>25</v>
      </c>
      <c r="D5" s="2" t="s">
        <v>26</v>
      </c>
      <c r="E5" s="2">
        <v>100</v>
      </c>
      <c r="F5" s="2">
        <v>15</v>
      </c>
      <c r="G5" s="2">
        <v>85</v>
      </c>
      <c r="H5" s="6" t="s">
        <v>55</v>
      </c>
      <c r="I5" s="2" t="s">
        <v>54</v>
      </c>
      <c r="J5" s="2" t="s">
        <v>13</v>
      </c>
      <c r="K5" s="6">
        <v>0</v>
      </c>
      <c r="L5" s="6">
        <v>100</v>
      </c>
      <c r="M5" s="11">
        <v>694</v>
      </c>
      <c r="N5" s="4" t="s">
        <v>73</v>
      </c>
      <c r="O5" s="8" t="s">
        <v>63</v>
      </c>
      <c r="P5" s="9" t="s">
        <v>67</v>
      </c>
      <c r="Q5" s="10">
        <v>45689</v>
      </c>
    </row>
    <row r="6" spans="1:17" ht="30" x14ac:dyDescent="0.25">
      <c r="A6" s="2" t="s">
        <v>27</v>
      </c>
      <c r="B6" s="2" t="s">
        <v>28</v>
      </c>
      <c r="C6" s="2" t="s">
        <v>29</v>
      </c>
      <c r="D6" s="2" t="s">
        <v>12</v>
      </c>
      <c r="E6" s="2">
        <v>55</v>
      </c>
      <c r="F6" s="2">
        <v>0</v>
      </c>
      <c r="G6" s="2">
        <v>55</v>
      </c>
      <c r="H6" s="6" t="s">
        <v>55</v>
      </c>
      <c r="I6" s="6" t="s">
        <v>70</v>
      </c>
      <c r="J6" s="2" t="s">
        <v>13</v>
      </c>
      <c r="K6" s="6">
        <v>55</v>
      </c>
      <c r="L6" s="6">
        <v>0</v>
      </c>
      <c r="M6" s="11">
        <v>735</v>
      </c>
      <c r="N6" s="4" t="s">
        <v>30</v>
      </c>
      <c r="O6" s="8" t="s">
        <v>62</v>
      </c>
      <c r="P6" s="9" t="s">
        <v>67</v>
      </c>
      <c r="Q6" s="10">
        <v>45658</v>
      </c>
    </row>
    <row r="7" spans="1:17" ht="30" customHeight="1" x14ac:dyDescent="0.25">
      <c r="A7" s="2" t="s">
        <v>31</v>
      </c>
      <c r="B7" s="2" t="s">
        <v>32</v>
      </c>
      <c r="C7" s="2" t="s">
        <v>33</v>
      </c>
      <c r="D7" s="2" t="s">
        <v>26</v>
      </c>
      <c r="E7" s="2">
        <v>80</v>
      </c>
      <c r="F7" s="2">
        <v>80</v>
      </c>
      <c r="G7" s="2">
        <v>0</v>
      </c>
      <c r="H7" s="6" t="s">
        <v>57</v>
      </c>
      <c r="I7" s="6" t="s">
        <v>58</v>
      </c>
      <c r="J7" s="2" t="s">
        <v>13</v>
      </c>
      <c r="K7" s="6">
        <v>80</v>
      </c>
      <c r="L7" s="6">
        <v>0</v>
      </c>
      <c r="M7" s="11">
        <v>11218</v>
      </c>
      <c r="N7" s="4" t="s">
        <v>34</v>
      </c>
      <c r="O7" s="8" t="s">
        <v>65</v>
      </c>
      <c r="P7" s="2" t="s">
        <v>64</v>
      </c>
      <c r="Q7" s="10">
        <v>45689</v>
      </c>
    </row>
    <row r="8" spans="1:17" ht="30" x14ac:dyDescent="0.25">
      <c r="A8" s="2" t="s">
        <v>35</v>
      </c>
      <c r="B8" s="2" t="s">
        <v>36</v>
      </c>
      <c r="C8" s="2" t="s">
        <v>37</v>
      </c>
      <c r="D8" s="2" t="s">
        <v>12</v>
      </c>
      <c r="E8" s="2">
        <v>50</v>
      </c>
      <c r="F8" s="2">
        <v>50</v>
      </c>
      <c r="G8" s="2">
        <v>0</v>
      </c>
      <c r="H8" s="6" t="s">
        <v>52</v>
      </c>
      <c r="I8" s="6" t="s">
        <v>50</v>
      </c>
      <c r="J8" s="2" t="s">
        <v>13</v>
      </c>
      <c r="K8" s="6">
        <v>0</v>
      </c>
      <c r="L8" s="6">
        <v>50</v>
      </c>
      <c r="M8" s="11">
        <v>2020</v>
      </c>
      <c r="N8" s="4" t="s">
        <v>38</v>
      </c>
      <c r="O8" s="8" t="s">
        <v>62</v>
      </c>
      <c r="P8" s="9" t="s">
        <v>67</v>
      </c>
      <c r="Q8" s="10">
        <v>45658</v>
      </c>
    </row>
    <row r="9" spans="1:17" ht="30" x14ac:dyDescent="0.25">
      <c r="A9" s="2" t="s">
        <v>39</v>
      </c>
      <c r="B9" s="2" t="s">
        <v>40</v>
      </c>
      <c r="C9" s="2" t="s">
        <v>41</v>
      </c>
      <c r="D9" s="2" t="s">
        <v>12</v>
      </c>
      <c r="E9" s="2">
        <v>40</v>
      </c>
      <c r="F9" s="2">
        <v>0</v>
      </c>
      <c r="G9" s="2">
        <v>40</v>
      </c>
      <c r="H9" s="6" t="s">
        <v>51</v>
      </c>
      <c r="I9" s="6" t="s">
        <v>59</v>
      </c>
      <c r="J9" s="2" t="s">
        <v>13</v>
      </c>
      <c r="K9" s="6">
        <v>35</v>
      </c>
      <c r="L9" s="6">
        <v>5</v>
      </c>
      <c r="M9" s="11">
        <v>1394</v>
      </c>
      <c r="N9" s="4" t="s">
        <v>42</v>
      </c>
      <c r="O9" s="8" t="s">
        <v>62</v>
      </c>
      <c r="P9" s="9" t="s">
        <v>67</v>
      </c>
      <c r="Q9" s="10">
        <v>45658</v>
      </c>
    </row>
    <row r="10" spans="1:17" x14ac:dyDescent="0.25">
      <c r="A10" s="2" t="s">
        <v>43</v>
      </c>
      <c r="B10" s="2" t="s">
        <v>44</v>
      </c>
      <c r="C10" s="2" t="s">
        <v>45</v>
      </c>
      <c r="D10" s="2" t="s">
        <v>12</v>
      </c>
      <c r="E10" s="2">
        <v>260</v>
      </c>
      <c r="F10" s="2">
        <v>0</v>
      </c>
      <c r="G10" s="2">
        <v>260</v>
      </c>
      <c r="H10" s="6" t="s">
        <v>52</v>
      </c>
      <c r="I10" s="6" t="s">
        <v>71</v>
      </c>
      <c r="J10" s="2" t="s">
        <v>13</v>
      </c>
      <c r="K10" s="6">
        <v>240</v>
      </c>
      <c r="L10" s="6">
        <v>20</v>
      </c>
      <c r="M10" s="11">
        <v>1789</v>
      </c>
      <c r="N10" s="4" t="s">
        <v>46</v>
      </c>
      <c r="O10" s="8" t="s">
        <v>62</v>
      </c>
      <c r="P10" s="9" t="s">
        <v>67</v>
      </c>
      <c r="Q10" s="10">
        <v>45689</v>
      </c>
    </row>
    <row r="11" spans="1:17" x14ac:dyDescent="0.25">
      <c r="A11" s="3" t="s">
        <v>47</v>
      </c>
      <c r="B11" s="3"/>
      <c r="C11" s="3"/>
      <c r="D11" s="3"/>
      <c r="E11" s="3">
        <f>SUM(E2:E10)</f>
        <v>1400</v>
      </c>
      <c r="F11" s="3">
        <f>SUM(F2:F10)</f>
        <v>700</v>
      </c>
      <c r="G11" s="3">
        <f>SUM(G2:G10)</f>
        <v>700</v>
      </c>
      <c r="H11" s="7"/>
      <c r="I11" s="7"/>
      <c r="J11" s="3"/>
      <c r="K11" s="7">
        <f>SUM(K2:K10)</f>
        <v>1120</v>
      </c>
      <c r="L11" s="7">
        <f>SUM(L2:L10)</f>
        <v>280</v>
      </c>
      <c r="M11" s="12"/>
      <c r="N11" s="3"/>
      <c r="O11" s="8"/>
      <c r="P11" s="7"/>
    </row>
  </sheetData>
  <hyperlinks>
    <hyperlink ref="N2" r:id="rId1" xr:uid="{00000000-0004-0000-0000-000000000000}"/>
    <hyperlink ref="N3" r:id="rId2" xr:uid="{00000000-0004-0000-0000-000001000000}"/>
    <hyperlink ref="N4" r:id="rId3" xr:uid="{00000000-0004-0000-0000-000002000000}"/>
    <hyperlink ref="N5" r:id="rId4" xr:uid="{00000000-0004-0000-0000-000003000000}"/>
    <hyperlink ref="N6" r:id="rId5" xr:uid="{00000000-0004-0000-0000-000004000000}"/>
    <hyperlink ref="N7" r:id="rId6" xr:uid="{00000000-0004-0000-0000-000005000000}"/>
    <hyperlink ref="N8" r:id="rId7" xr:uid="{00000000-0004-0000-0000-000006000000}"/>
    <hyperlink ref="N9" r:id="rId8" xr:uid="{00000000-0004-0000-0000-000007000000}"/>
    <hyperlink ref="N10" r:id="rId9" xr:uid="{00000000-0004-0000-0000-000008000000}"/>
  </hyperlinks>
  <pageMargins left="0.7" right="0.7" top="0.75" bottom="0.75" header="0.3" footer="0.3"/>
  <pageSetup orientation="portrait" r:id="rId10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2026-10-26T19:20:22Z</dcterms:created>
  <dcterms:modified xsi:type="dcterms:W3CDTF">2026-10-26T19:25:53Z</dcterms:modified>
</cp:coreProperties>
</file>