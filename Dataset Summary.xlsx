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FF7E6AAA-A09D-4203-B713-FAFAD4593E92}" xr6:coauthVersionLast="47" xr6:coauthVersionMax="47" xr10:uidLastSave="{00000000-0000-0000-0000-000000000000}"/>
  <bookViews>
    <workbookView xWindow="19065" yWindow="5595" windowWidth="24540" windowHeight="15285" xr2:uid="{00000000-000D-0000-FFFF-FFFF00000000}"/>
  </bookViews>
  <sheets>
    <sheet name="Summar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</calcChain>
</file>

<file path=xl/sharedStrings.xml><?xml version="1.0" encoding="utf-8"?>
<sst xmlns="http://schemas.openxmlformats.org/spreadsheetml/2006/main" count="33" uniqueCount="32">
  <si>
    <t>Dataset Documentation Summary</t>
  </si>
  <si>
    <t>Metric</t>
  </si>
  <si>
    <t>Value</t>
  </si>
  <si>
    <t>Formula / Source</t>
  </si>
  <si>
    <t>Notes</t>
  </si>
  <si>
    <t>Total images used</t>
  </si>
  <si>
    <t>Total curated images included in the final dataset</t>
  </si>
  <si>
    <t>Total cracked images</t>
  </si>
  <si>
    <t>Final cracked class after manual re-annotation</t>
  </si>
  <si>
    <t>Total non-cracked images</t>
  </si>
  <si>
    <t>Final non-cracked class after manual re-annotation</t>
  </si>
  <si>
    <t>Class balance</t>
  </si>
  <si>
    <t>Cracked proportion of total dataset</t>
  </si>
  <si>
    <t>Non-egg cracked-surface images</t>
  </si>
  <si>
    <t>User dataset record</t>
  </si>
  <si>
    <t>Approximately 5.7% of 1,400 images</t>
  </si>
  <si>
    <t>80% of total</t>
  </si>
  <si>
    <t>560 cracked + 560 non-cracked</t>
  </si>
  <si>
    <t>Independent test split</t>
  </si>
  <si>
    <t>20% of total</t>
  </si>
  <si>
    <t>140 cracked + 140 non-cracked</t>
  </si>
  <si>
    <t>Dataset Split</t>
  </si>
  <si>
    <t>Cracked</t>
  </si>
  <si>
    <t>Non-cracked</t>
  </si>
  <si>
    <t>Total</t>
  </si>
  <si>
    <t>Independent test set</t>
  </si>
  <si>
    <t>Training/ Val split</t>
  </si>
  <si>
    <t>Training/ Val set</t>
  </si>
  <si>
    <t>Total cracked images / Total images used</t>
  </si>
  <si>
    <t>"Dataset Sources.xlsx", Cell E11 (TOTAL)</t>
  </si>
  <si>
    <t>"Dataset Sources.xlsx", Cell F11 (TOTAL)</t>
  </si>
  <si>
    <t>"Dataset Sources.xlsx", Cell G11 (TOTAL)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</si>
</sst>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0" fontId="0" fillId="0" borderId="3" xfId="0" applyBorder="1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assDistributionTable" displayName="ClassDistributionTable" ref="A12:D15" totalsRowShown="0">
  <tableColumns count="4">
    <tableColumn id="1" xr3:uid="{00000000-0010-0000-0000-000001000000}" name="Dataset Split"/>
    <tableColumn id="2" xr3:uid="{00000000-0010-0000-0000-000002000000}" name="Cracked"/>
    <tableColumn id="3" xr3:uid="{00000000-0010-0000-0000-000003000000}" name="Non-cracked"/>
    <tableColumn id="4" xr3:uid="{00000000-0010-0000-0000-000004000000}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6" sqref="D6"/>
    </sheetView>
  </sheetViews>
  <sheetFormatPr defaultRowHeight="15" x14ac:dyDescent="0.25"/>
  <cols>
    <col min="1" max="1" width="32" customWidth="1"/>
    <col min="2" max="2" width="16" customWidth="1"/>
    <col min="3" max="3" width="36.875" customWidth="1"/>
    <col min="4" max="4" width="45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t="s">
        <v>5</v>
      </c>
      <c r="B3" s="5">
        <v>1400</v>
      </c>
      <c r="C3" s="7" t="s">
        <v>29</v>
      </c>
      <c r="D3" t="s">
        <v>6</v>
      </c>
    </row>
    <row r="4" spans="1:4" x14ac:dyDescent="0.25">
      <c r="A4" t="s">
        <v>7</v>
      </c>
      <c r="B4" s="5">
        <v>700</v>
      </c>
      <c r="C4" s="7" t="s">
        <v>30</v>
      </c>
      <c r="D4" t="s">
        <v>8</v>
      </c>
    </row>
    <row r="5" spans="1:4" x14ac:dyDescent="0.25">
      <c r="A5" t="s">
        <v>9</v>
      </c>
      <c r="B5" s="5">
        <v>700</v>
      </c>
      <c r="C5" s="7" t="s">
        <v>31</v>
      </c>
      <c r="D5" t="s">
        <v>10</v>
      </c>
    </row>
    <row r="6" spans="1:4" x14ac:dyDescent="0.25">
      <c r="A6" t="s">
        <v>11</v>
      </c>
      <c r="B6" s="8">
        <f>B4/B3</f>
        <v>0.5</v>
      </c>
      <c r="C6" s="6" t="s">
        <v>28</v>
      </c>
      <c r="D6" t="s">
        <v>12</v>
      </c>
    </row>
    <row r="7" spans="1:4" x14ac:dyDescent="0.25">
      <c r="A7" t="s">
        <v>13</v>
      </c>
      <c r="B7">
        <v>80</v>
      </c>
      <c r="C7" s="6" t="s">
        <v>14</v>
      </c>
      <c r="D7" t="s">
        <v>15</v>
      </c>
    </row>
    <row r="8" spans="1:4" x14ac:dyDescent="0.25">
      <c r="A8" t="s">
        <v>26</v>
      </c>
      <c r="B8">
        <v>1120</v>
      </c>
      <c r="C8" s="6" t="s">
        <v>16</v>
      </c>
      <c r="D8" t="s">
        <v>17</v>
      </c>
    </row>
    <row r="9" spans="1:4" x14ac:dyDescent="0.25">
      <c r="A9" t="s">
        <v>18</v>
      </c>
      <c r="B9">
        <v>280</v>
      </c>
      <c r="C9" s="6" t="s">
        <v>19</v>
      </c>
      <c r="D9" t="s">
        <v>20</v>
      </c>
    </row>
    <row r="12" spans="1:4" x14ac:dyDescent="0.25">
      <c r="A12" s="1" t="s">
        <v>21</v>
      </c>
      <c r="B12" s="1" t="s">
        <v>22</v>
      </c>
      <c r="C12" s="1" t="s">
        <v>23</v>
      </c>
      <c r="D12" s="1" t="s">
        <v>24</v>
      </c>
    </row>
    <row r="13" spans="1:4" x14ac:dyDescent="0.25">
      <c r="A13" s="3" t="s">
        <v>27</v>
      </c>
      <c r="B13" s="3">
        <v>560</v>
      </c>
      <c r="C13" s="3">
        <v>560</v>
      </c>
      <c r="D13" s="3">
        <v>1120</v>
      </c>
    </row>
    <row r="14" spans="1:4" x14ac:dyDescent="0.25">
      <c r="A14" s="4" t="s">
        <v>25</v>
      </c>
      <c r="B14" s="4">
        <v>140</v>
      </c>
      <c r="C14" s="4">
        <v>140</v>
      </c>
      <c r="D14" s="4">
        <v>280</v>
      </c>
    </row>
    <row r="15" spans="1:4" x14ac:dyDescent="0.25">
      <c r="A15" s="5" t="s">
        <v>24</v>
      </c>
      <c r="B15" s="5">
        <v>700</v>
      </c>
      <c r="C15" s="5">
        <v>700</v>
      </c>
      <c r="D15" s="5">
        <v>1400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2026-10-11T11:57:26Z</dcterms:modified>
</cp:coreProperties>
</file>